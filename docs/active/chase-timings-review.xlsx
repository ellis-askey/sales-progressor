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se Timings" state="visible" r:id="rId4"/>
    <sheet sheetId="2" name="Excluded (Bilateral)" state="visible" r:id="rId5"/>
    <sheet sheetId="3" name="Legend" state="visible" r:id="rId6"/>
  </sheets>
  <calcPr calcId="171027"/>
</workbook>
</file>

<file path=xl/sharedStrings.xml><?xml version="1.0" encoding="utf-8"?>
<sst xmlns="http://schemas.openxmlformats.org/spreadsheetml/2006/main" count="576" uniqueCount="188">
  <si>
    <t>Code</t>
  </si>
  <si>
    <t>Milestone (plain English)</t>
  </si>
  <si>
    <t>Side</t>
  </si>
  <si>
    <t>Whose job</t>
  </si>
  <si>
    <t>Tone</t>
  </si>
  <si>
    <t>Anchor (what it waits for)</t>
  </si>
  <si>
    <t>Cross-side?</t>
  </si>
  <si>
    <t>Current grace (days)</t>
  </si>
  <si>
    <t>Current repeat (days)</t>
  </si>
  <si>
    <t>Typical real-world duration</t>
  </si>
  <si>
    <t>Risk flag</t>
  </si>
  <si>
    <t>Now: chase 1 fires day</t>
  </si>
  <si>
    <t>Now: chase 2 fires day</t>
  </si>
  <si>
    <t>Now: escalates day</t>
  </si>
  <si>
    <t>MY grace (days)</t>
  </si>
  <si>
    <t>MY repeat (days)</t>
  </si>
  <si>
    <t>MY chase 1 fires day</t>
  </si>
  <si>
    <t>MY chase 2 fires day</t>
  </si>
  <si>
    <t>MY escalates day</t>
  </si>
  <si>
    <t>Notes / why</t>
  </si>
  <si>
    <t>VENDOR SIDE — buyer's seller-facing milestones</t>
  </si>
  <si>
    <t>VM1</t>
  </si>
  <si>
    <t>Instruct your solicitor</t>
  </si>
  <si>
    <t>vendor</t>
  </si>
  <si>
    <t>you</t>
  </si>
  <si>
    <t>DIY</t>
  </si>
  <si>
    <t>(at transaction start — no anchor milestone)</t>
  </si>
  <si>
    <t/>
  </si>
  <si>
    <t>VM2</t>
  </si>
  <si>
    <t>Receive memorandum of sale</t>
  </si>
  <si>
    <t>solicitor</t>
  </si>
  <si>
    <t>NUDGE</t>
  </si>
  <si>
    <t>ℹ️ Floor applied (real grace=0)</t>
  </si>
  <si>
    <t>VM3</t>
  </si>
  <si>
    <t>Receive welcome pack from solicitor</t>
  </si>
  <si>
    <t>VM1: Instruct your solicitor</t>
  </si>
  <si>
    <t>VM4</t>
  </si>
  <si>
    <t>Complete ID &amp; AML checks</t>
  </si>
  <si>
    <t>VM5</t>
  </si>
  <si>
    <t>Receive property information forms</t>
  </si>
  <si>
    <t>VM3: Receive welcome pack from solicitor</t>
  </si>
  <si>
    <t>VM6</t>
  </si>
  <si>
    <t>Return completed property forms</t>
  </si>
  <si>
    <t>VM5: Receive property information forms</t>
  </si>
  <si>
    <t>VM7</t>
  </si>
  <si>
    <t>Draft contract pack issued</t>
  </si>
  <si>
    <t>VM6: Return completed property forms</t>
  </si>
  <si>
    <t>VM8</t>
  </si>
  <si>
    <t>Management pack requested</t>
  </si>
  <si>
    <t>VM9</t>
  </si>
  <si>
    <t>Management pack received</t>
  </si>
  <si>
    <t>VM8: Management pack requested</t>
  </si>
  <si>
    <t>can take 4–8 weeks</t>
  </si>
  <si>
    <t>🟠 before: chase 1 fires day 21, typical min ~28d</t>
  </si>
  <si>
    <t>VM10</t>
  </si>
  <si>
    <t>Initial enquiries received</t>
  </si>
  <si>
    <t>PM14: Initial enquiries raised</t>
  </si>
  <si>
    <t>★ cross-side</t>
  </si>
  <si>
    <t>VM11</t>
  </si>
  <si>
    <t>Provide replies to enquiries</t>
  </si>
  <si>
    <t>VM10: Initial enquiries received</t>
  </si>
  <si>
    <t>VM12</t>
  </si>
  <si>
    <t>Replies sent to buyer's solicitor</t>
  </si>
  <si>
    <t>VM11: Provide replies to enquiries</t>
  </si>
  <si>
    <t>VM13</t>
  </si>
  <si>
    <t>Additional enquiries received</t>
  </si>
  <si>
    <t>PM17: Additional enquiries raised</t>
  </si>
  <si>
    <t>VM14</t>
  </si>
  <si>
    <t>Provide additional replies</t>
  </si>
  <si>
    <t>VM13: Additional enquiries received</t>
  </si>
  <si>
    <t>VM15</t>
  </si>
  <si>
    <t>Additional replies sent</t>
  </si>
  <si>
    <t>VM14: Provide additional replies</t>
  </si>
  <si>
    <t>VM16</t>
  </si>
  <si>
    <t>Contract documents issued to you</t>
  </si>
  <si>
    <t>VM7: Draft contract pack issued</t>
  </si>
  <si>
    <t>VM17</t>
  </si>
  <si>
    <t>Sign and return contract documents</t>
  </si>
  <si>
    <t>VM16: Contract documents issued to you</t>
  </si>
  <si>
    <t>PURCHASER SIDE — buyer's milestones</t>
  </si>
  <si>
    <t>PM1</t>
  </si>
  <si>
    <t>purchaser</t>
  </si>
  <si>
    <t>PM2</t>
  </si>
  <si>
    <t>PM3</t>
  </si>
  <si>
    <t>PM1: Instruct your solicitor</t>
  </si>
  <si>
    <t>PM4</t>
  </si>
  <si>
    <t>Pay money on account to solicitor</t>
  </si>
  <si>
    <t>PM5</t>
  </si>
  <si>
    <t>Submit mortgage application</t>
  </si>
  <si>
    <t>PM6</t>
  </si>
  <si>
    <t>Lender valuation booked</t>
  </si>
  <si>
    <t>lender</t>
  </si>
  <si>
    <t>PM5: Submit mortgage application</t>
  </si>
  <si>
    <t>usually 1–2 weeks after application</t>
  </si>
  <si>
    <t>PM7</t>
  </si>
  <si>
    <t>Draft contract pack received</t>
  </si>
  <si>
    <t>PM8</t>
  </si>
  <si>
    <t>Searches ordered</t>
  </si>
  <si>
    <t>PM7: Draft contract pack received</t>
  </si>
  <si>
    <t>results in 2–4 weeks</t>
  </si>
  <si>
    <t>🔴 well before: chase 1 fires day 3, typical min ~14d</t>
  </si>
  <si>
    <t>PM9</t>
  </si>
  <si>
    <t>Book your survey</t>
  </si>
  <si>
    <t>PM10</t>
  </si>
  <si>
    <t>Survey report received</t>
  </si>
  <si>
    <t>PM9: Book your survey</t>
  </si>
  <si>
    <t>PM11</t>
  </si>
  <si>
    <t>Mortgage offer received</t>
  </si>
  <si>
    <t>PM6: Lender valuation booked</t>
  </si>
  <si>
    <t>typically 1–3 weeks after valuation</t>
  </si>
  <si>
    <t>PM12</t>
  </si>
  <si>
    <t>VM9: Management pack received</t>
  </si>
  <si>
    <t>PM13</t>
  </si>
  <si>
    <t>Search results received</t>
  </si>
  <si>
    <t>PM8: Searches ordered</t>
  </si>
  <si>
    <t>usually 2–6 weeks</t>
  </si>
  <si>
    <t>PM14</t>
  </si>
  <si>
    <t>Initial enquiries raised</t>
  </si>
  <si>
    <t>PM15</t>
  </si>
  <si>
    <t>Initial replies received</t>
  </si>
  <si>
    <t>VM12: Replies sent to buyer's solicitor</t>
  </si>
  <si>
    <t>PM16</t>
  </si>
  <si>
    <t>Initial replies reviewed</t>
  </si>
  <si>
    <t>PM15: Initial replies received</t>
  </si>
  <si>
    <t>PM17</t>
  </si>
  <si>
    <t>Additional enquiries raised</t>
  </si>
  <si>
    <t>PM16: Initial replies reviewed</t>
  </si>
  <si>
    <t>PM18</t>
  </si>
  <si>
    <t>Additional replies received</t>
  </si>
  <si>
    <t>VM15: Additional replies sent</t>
  </si>
  <si>
    <t>PM19</t>
  </si>
  <si>
    <t>Additional replies reviewed</t>
  </si>
  <si>
    <t>PM18: Additional replies received</t>
  </si>
  <si>
    <t>PM20</t>
  </si>
  <si>
    <t>All enquiries satisfied</t>
  </si>
  <si>
    <t>PM19: Additional replies reviewed</t>
  </si>
  <si>
    <t>PM21</t>
  </si>
  <si>
    <t>Final report received from solicitor</t>
  </si>
  <si>
    <t>PM20: All enquiries satisfied</t>
  </si>
  <si>
    <t>PM22</t>
  </si>
  <si>
    <t>PM21: Final report received from solicitor</t>
  </si>
  <si>
    <t>PM23</t>
  </si>
  <si>
    <t>PM22: Contract documents issued to you</t>
  </si>
  <si>
    <t>PM24</t>
  </si>
  <si>
    <t>Transfer the deposit</t>
  </si>
  <si>
    <t>PM23: Sign and return contract documents</t>
  </si>
  <si>
    <t>Milestone</t>
  </si>
  <si>
    <t>Why excluded</t>
  </si>
  <si>
    <t>PM25</t>
  </si>
  <si>
    <t>Solicitor confirms ready to exchange</t>
  </si>
  <si>
    <t>Ready-to-exchange is a one-sided gate confirmed by the solicitor, not the client. Agent-orchestrated.</t>
  </si>
  <si>
    <t>PM26</t>
  </si>
  <si>
    <t>Contracts exchanged</t>
  </si>
  <si>
    <t>Exchange is the bilateral moment where both solicitors confirm contracts together. Agent marks it.</t>
  </si>
  <si>
    <t>PM27</t>
  </si>
  <si>
    <t>Purchase completed</t>
  </si>
  <si>
    <t>Completion is the bilateral moment when money moves and ownership transfers. Agent marks it.</t>
  </si>
  <si>
    <t>VM18</t>
  </si>
  <si>
    <t>VM19</t>
  </si>
  <si>
    <t>VM20</t>
  </si>
  <si>
    <t>Sale completed</t>
  </si>
  <si>
    <t>Term</t>
  </si>
  <si>
    <t>Plain-English explanation</t>
  </si>
  <si>
    <t>Internal milestone code. VM* = vendor (seller) side. PM* = purchaser (buyer) side.</t>
  </si>
  <si>
    <t>Which client receives the chase: vendor (the seller) or purchaser (the buyer).</t>
  </si>
  <si>
    <t>Whose job (you / solicitor / lender)</t>
  </si>
  <si>
    <t>Who is responsible for completing the real-world action. DIY tone if 'you'; NUDGE tone if 'solicitor' or 'lender'.</t>
  </si>
  <si>
    <t>DIY = email says 'only you can move this forward'. NUDGE = email says 'sitting with your solicitor/lender — no action needed unless you want to chase'.</t>
  </si>
  <si>
    <t>Anchor</t>
  </si>
  <si>
    <t>The upstream milestone that must complete before this one's chase clock starts. If '(at transaction start)', the clock starts when the file is created.</t>
  </si>
  <si>
    <t>Cross-side</t>
  </si>
  <si>
    <t>Marked ★ when this milestone's anchor is on the OPPOSITE side (e.g. PM7 waits on VM7 — buyer waits on seller's solicitor).</t>
  </si>
  <si>
    <t>Days after the anchor completes before chase 1 fires. Floored at 1 for client-chase emails — see day-1 floor in scripts/lib/services/client-chase-cron.ts.</t>
  </si>
  <si>
    <t>Days between chase 1 and chase 2 (and between chase 2 and the escalation window closing).</t>
  </si>
  <si>
    <t>From portal-copy.typicalDuration — the time the underlying task usually takes in the real world.</t>
  </si>
  <si>
    <t>Auto-computed: 🔴 if chase 1 fires before 1/3 of typical min duration · 🟠 if before typical min · ℹ️ if grace=0 (day-1 floor applied).</t>
  </si>
  <si>
    <t>Now: chase 1 / chase 2 / escalate day</t>
  </si>
  <si>
    <t>Day-counter showing what happens TODAY under current values, assuming anchor completes on Day 0.</t>
  </si>
  <si>
    <t>MY grace / repeat</t>
  </si>
  <si>
    <t>Empty columns for you to fill in your intended values.</t>
  </si>
  <si>
    <t>MY chase 1 / 2 / escalate day</t>
  </si>
  <si>
    <t>Live formulas — recompute automatically once you fill MY grace and MY repeat.</t>
  </si>
  <si>
    <t>Interpretation B</t>
  </si>
  <si>
    <t>Escalation fires AFTER the second chase's repeat-window closes (not on the second send). Hardcoded — see plan.</t>
  </si>
  <si>
    <t>2-chase cap</t>
  </si>
  <si>
    <t>Client cron sends a maximum of 2 chase emails per (milestone, contact). Hardcoded — not editable per-rule.</t>
  </si>
  <si>
    <t>14-day silence ceiling</t>
  </si>
  <si>
    <t>If the client doesn't engage for 14 days since first chase OR last engagement, the chase escalates to the agent regardless of chase-count. Hardcoded.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</si>
</sst>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</font>
    <font>
      <b/>
      <i/>
      <color rgb="FF1F2937"/>
    </font>
    <font>
      <i/>
      <color rgb="FF6B7280"/>
    </font>
    <font>
      <color rgb="FFC2410C"/>
    </font>
    <font>
      <b/>
      <color rgb="FFB45309"/>
    </font>
    <font>
      <b/>
      <color rgb="FFB91C1C"/>
    </font>
  </fonts>
  <fills count="10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0F2FE"/>
      </patternFill>
    </fill>
    <fill>
      <patternFill patternType="solid">
        <fgColor rgb="FFFEFCE8"/>
      </patternFill>
    </fill>
    <fill>
      <patternFill patternType="solid">
        <fgColor rgb="FFFAFAF9"/>
      </patternFill>
    </fill>
    <fill>
      <patternFill patternType="solid">
        <fgColor rgb="FFFFEDD5"/>
      </patternFill>
    </fill>
    <fill>
      <patternFill patternType="solid">
        <fgColor rgb="FFFFFBEB"/>
      </patternFill>
    </fill>
    <fill>
      <patternFill patternType="solid">
        <fgColor rgb="FFFEF3C7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0" fillId="4" borderId="0" xfId="0" applyFill="1"/>
    <xf numFmtId="0" fontId="3" fillId="5" borderId="0" xfId="0" applyFont="1" applyFill="1"/>
    <xf numFmtId="0" fontId="4" fillId="6" borderId="0" xfId="0" applyFont="1" applyFill="1"/>
    <xf numFmtId="0" fontId="0" fillId="7" borderId="0" xfId="0" applyFill="1"/>
    <xf numFmtId="0" fontId="5" fillId="0" borderId="0" xfId="0" applyFont="1"/>
    <xf numFmtId="0" fontId="2" fillId="8" borderId="0" xfId="0" applyFont="1" applyFill="1"/>
    <xf numFmtId="0" fontId="6" fillId="9" borderId="0" xfId="0" applyFont="1" applyFill="1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38" customWidth="1"/>
    <col min="3" max="3" width="10" customWidth="1"/>
    <col min="4" max="4" width="11" customWidth="1"/>
    <col min="5" max="5" width="8" customWidth="1"/>
    <col min="6" max="6" width="38" customWidth="1"/>
    <col min="7" max="7" width="12" customWidth="1"/>
    <col min="8" max="8" width="13" customWidth="1"/>
    <col min="9" max="9" width="14" customWidth="1"/>
    <col min="10" max="10" width="26" customWidth="1"/>
    <col min="11" max="11" width="38" customWidth="1"/>
    <col min="12" max="14" width="14" customWidth="1"/>
    <col min="15" max="16" width="13" customWidth="1"/>
    <col min="17" max="19" width="14" customWidth="1"/>
    <col min="20" max="20" width="50" customWidth="1"/>
  </cols>
  <sheetData>
    <row r="1" ht="32" customHeight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s="2" customFormat="1" x14ac:dyDescent="0.25">
      <c r="A2" s="2" t="s">
        <v>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2</v>
      </c>
      <c r="I3">
        <v>3</v>
      </c>
      <c r="J3" t="s">
        <v>27</v>
      </c>
      <c r="K3" t="s">
        <v>27</v>
      </c>
      <c r="L3">
        <v>2</v>
      </c>
      <c r="M3">
        <v>5</v>
      </c>
      <c r="N3">
        <v>8</v>
      </c>
      <c r="O3" s="3" t="s">
        <v>27</v>
      </c>
      <c r="P3" s="3" t="s">
        <v>27</v>
      </c>
      <c r="Q3" s="4" t="str">
        <f>IF(O3="","",MAX(O3,1))</f>
        <v/>
      </c>
      <c r="R3" s="4" t="str">
        <f>IF(OR(O3="",P3=""),"",MAX(O3,1)+P3)</f>
        <v/>
      </c>
      <c r="S3" s="4" t="str">
        <f>IF(OR(O3="",P3=""),"",MAX(O3,1)+2*P3)</f>
        <v/>
      </c>
      <c r="T3" s="3" t="s">
        <v>27</v>
      </c>
    </row>
    <row r="4" spans="1:20" x14ac:dyDescent="0.25">
      <c r="A4" t="s">
        <v>28</v>
      </c>
      <c r="B4" t="s">
        <v>29</v>
      </c>
      <c r="C4" t="s">
        <v>23</v>
      </c>
      <c r="D4" t="s">
        <v>30</v>
      </c>
      <c r="E4" t="s">
        <v>31</v>
      </c>
      <c r="F4" t="s">
        <v>26</v>
      </c>
      <c r="G4" t="s">
        <v>27</v>
      </c>
      <c r="H4">
        <v>0</v>
      </c>
      <c r="I4">
        <v>2</v>
      </c>
      <c r="J4" t="s">
        <v>27</v>
      </c>
      <c r="K4" t="s">
        <v>32</v>
      </c>
      <c r="L4">
        <v>1</v>
      </c>
      <c r="M4">
        <v>3</v>
      </c>
      <c r="N4">
        <v>5</v>
      </c>
      <c r="O4" s="3" t="s">
        <v>27</v>
      </c>
      <c r="P4" s="3" t="s">
        <v>27</v>
      </c>
      <c r="Q4" s="4" t="str">
        <f>IF(O4="","",MAX(O4,1))</f>
        <v/>
      </c>
      <c r="R4" s="4" t="str">
        <f>IF(OR(O4="",P4=""),"",MAX(O4,1)+P4)</f>
        <v/>
      </c>
      <c r="S4" s="4" t="str">
        <f>IF(OR(O4="",P4=""),"",MAX(O4,1)+2*P4)</f>
        <v/>
      </c>
      <c r="T4" s="3" t="s">
        <v>27</v>
      </c>
    </row>
    <row r="5" spans="1:20" x14ac:dyDescent="0.25">
      <c r="A5" t="s">
        <v>33</v>
      </c>
      <c r="B5" t="s">
        <v>34</v>
      </c>
      <c r="C5" t="s">
        <v>23</v>
      </c>
      <c r="D5" t="s">
        <v>24</v>
      </c>
      <c r="E5" t="s">
        <v>25</v>
      </c>
      <c r="F5" t="s">
        <v>35</v>
      </c>
      <c r="G5" t="s">
        <v>27</v>
      </c>
      <c r="H5">
        <v>3</v>
      </c>
      <c r="I5">
        <v>5</v>
      </c>
      <c r="J5" t="s">
        <v>27</v>
      </c>
      <c r="K5" t="s">
        <v>27</v>
      </c>
      <c r="L5">
        <v>3</v>
      </c>
      <c r="M5">
        <v>8</v>
      </c>
      <c r="N5">
        <v>13</v>
      </c>
      <c r="O5" s="3" t="s">
        <v>27</v>
      </c>
      <c r="P5" s="3" t="s">
        <v>27</v>
      </c>
      <c r="Q5" s="4" t="str">
        <f>IF(O5="","",MAX(O5,1))</f>
        <v/>
      </c>
      <c r="R5" s="4" t="str">
        <f>IF(OR(O5="",P5=""),"",MAX(O5,1)+P5)</f>
        <v/>
      </c>
      <c r="S5" s="4" t="str">
        <f>IF(OR(O5="",P5=""),"",MAX(O5,1)+2*P5)</f>
        <v/>
      </c>
      <c r="T5" s="3" t="s">
        <v>27</v>
      </c>
    </row>
    <row r="6" spans="1:20" x14ac:dyDescent="0.25">
      <c r="A6" t="s">
        <v>36</v>
      </c>
      <c r="B6" t="s">
        <v>37</v>
      </c>
      <c r="C6" t="s">
        <v>23</v>
      </c>
      <c r="D6" t="s">
        <v>24</v>
      </c>
      <c r="E6" t="s">
        <v>25</v>
      </c>
      <c r="F6" t="s">
        <v>35</v>
      </c>
      <c r="G6" t="s">
        <v>27</v>
      </c>
      <c r="H6">
        <v>3</v>
      </c>
      <c r="I6">
        <v>5</v>
      </c>
      <c r="J6" t="s">
        <v>27</v>
      </c>
      <c r="K6" t="s">
        <v>27</v>
      </c>
      <c r="L6">
        <v>3</v>
      </c>
      <c r="M6">
        <v>8</v>
      </c>
      <c r="N6">
        <v>13</v>
      </c>
      <c r="O6" s="3" t="s">
        <v>27</v>
      </c>
      <c r="P6" s="3" t="s">
        <v>27</v>
      </c>
      <c r="Q6" s="4" t="str">
        <f>IF(O6="","",MAX(O6,1))</f>
        <v/>
      </c>
      <c r="R6" s="4" t="str">
        <f>IF(OR(O6="",P6=""),"",MAX(O6,1)+P6)</f>
        <v/>
      </c>
      <c r="S6" s="4" t="str">
        <f>IF(OR(O6="",P6=""),"",MAX(O6,1)+2*P6)</f>
        <v/>
      </c>
      <c r="T6" s="3" t="s">
        <v>27</v>
      </c>
    </row>
    <row r="7" spans="1:20" x14ac:dyDescent="0.25">
      <c r="A7" t="s">
        <v>38</v>
      </c>
      <c r="B7" t="s">
        <v>39</v>
      </c>
      <c r="C7" t="s">
        <v>23</v>
      </c>
      <c r="D7" t="s">
        <v>24</v>
      </c>
      <c r="E7" t="s">
        <v>25</v>
      </c>
      <c r="F7" t="s">
        <v>40</v>
      </c>
      <c r="G7" t="s">
        <v>27</v>
      </c>
      <c r="H7">
        <v>5</v>
      </c>
      <c r="I7">
        <v>3</v>
      </c>
      <c r="J7" t="s">
        <v>27</v>
      </c>
      <c r="K7" t="s">
        <v>27</v>
      </c>
      <c r="L7">
        <v>5</v>
      </c>
      <c r="M7">
        <v>8</v>
      </c>
      <c r="N7">
        <v>11</v>
      </c>
      <c r="O7" s="3" t="s">
        <v>27</v>
      </c>
      <c r="P7" s="3" t="s">
        <v>27</v>
      </c>
      <c r="Q7" s="4" t="str">
        <f>IF(O7="","",MAX(O7,1))</f>
        <v/>
      </c>
      <c r="R7" s="4" t="str">
        <f>IF(OR(O7="",P7=""),"",MAX(O7,1)+P7)</f>
        <v/>
      </c>
      <c r="S7" s="4" t="str">
        <f>IF(OR(O7="",P7=""),"",MAX(O7,1)+2*P7)</f>
        <v/>
      </c>
      <c r="T7" s="3" t="s">
        <v>27</v>
      </c>
    </row>
    <row r="8" spans="1:20" x14ac:dyDescent="0.25">
      <c r="A8" t="s">
        <v>41</v>
      </c>
      <c r="B8" t="s">
        <v>42</v>
      </c>
      <c r="C8" t="s">
        <v>23</v>
      </c>
      <c r="D8" t="s">
        <v>24</v>
      </c>
      <c r="E8" t="s">
        <v>25</v>
      </c>
      <c r="F8" t="s">
        <v>43</v>
      </c>
      <c r="G8" t="s">
        <v>27</v>
      </c>
      <c r="H8">
        <v>5</v>
      </c>
      <c r="I8">
        <v>3</v>
      </c>
      <c r="J8" t="s">
        <v>27</v>
      </c>
      <c r="K8" t="s">
        <v>27</v>
      </c>
      <c r="L8">
        <v>5</v>
      </c>
      <c r="M8">
        <v>8</v>
      </c>
      <c r="N8">
        <v>11</v>
      </c>
      <c r="O8" s="3" t="s">
        <v>27</v>
      </c>
      <c r="P8" s="3" t="s">
        <v>27</v>
      </c>
      <c r="Q8" s="4" t="str">
        <f>IF(O8="","",MAX(O8,1))</f>
        <v/>
      </c>
      <c r="R8" s="4" t="str">
        <f>IF(OR(O8="",P8=""),"",MAX(O8,1)+P8)</f>
        <v/>
      </c>
      <c r="S8" s="4" t="str">
        <f>IF(OR(O8="",P8=""),"",MAX(O8,1)+2*P8)</f>
        <v/>
      </c>
      <c r="T8" s="3" t="s">
        <v>27</v>
      </c>
    </row>
    <row r="9" spans="1:20" x14ac:dyDescent="0.25">
      <c r="A9" t="s">
        <v>44</v>
      </c>
      <c r="B9" t="s">
        <v>45</v>
      </c>
      <c r="C9" t="s">
        <v>23</v>
      </c>
      <c r="D9" t="s">
        <v>30</v>
      </c>
      <c r="E9" t="s">
        <v>31</v>
      </c>
      <c r="F9" t="s">
        <v>46</v>
      </c>
      <c r="G9" t="s">
        <v>27</v>
      </c>
      <c r="H9">
        <v>5</v>
      </c>
      <c r="I9">
        <v>3</v>
      </c>
      <c r="J9" t="s">
        <v>27</v>
      </c>
      <c r="K9" t="s">
        <v>27</v>
      </c>
      <c r="L9">
        <v>5</v>
      </c>
      <c r="M9">
        <v>8</v>
      </c>
      <c r="N9">
        <v>11</v>
      </c>
      <c r="O9" s="3" t="s">
        <v>27</v>
      </c>
      <c r="P9" s="3" t="s">
        <v>27</v>
      </c>
      <c r="Q9" s="4" t="str">
        <f>IF(O9="","",MAX(O9,1))</f>
        <v/>
      </c>
      <c r="R9" s="4" t="str">
        <f>IF(OR(O9="",P9=""),"",MAX(O9,1)+P9)</f>
        <v/>
      </c>
      <c r="S9" s="4" t="str">
        <f>IF(OR(O9="",P9=""),"",MAX(O9,1)+2*P9)</f>
        <v/>
      </c>
      <c r="T9" s="3" t="s">
        <v>27</v>
      </c>
    </row>
    <row r="10" spans="1:20" x14ac:dyDescent="0.25">
      <c r="A10" t="s">
        <v>47</v>
      </c>
      <c r="B10" t="s">
        <v>48</v>
      </c>
      <c r="C10" t="s">
        <v>23</v>
      </c>
      <c r="D10" t="s">
        <v>30</v>
      </c>
      <c r="E10" t="s">
        <v>31</v>
      </c>
      <c r="F10" t="s">
        <v>26</v>
      </c>
      <c r="G10" t="s">
        <v>27</v>
      </c>
      <c r="H10">
        <v>3</v>
      </c>
      <c r="I10">
        <v>5</v>
      </c>
      <c r="J10" t="s">
        <v>27</v>
      </c>
      <c r="K10" t="s">
        <v>27</v>
      </c>
      <c r="L10">
        <v>3</v>
      </c>
      <c r="M10">
        <v>8</v>
      </c>
      <c r="N10">
        <v>13</v>
      </c>
      <c r="O10" s="3" t="s">
        <v>27</v>
      </c>
      <c r="P10" s="3" t="s">
        <v>27</v>
      </c>
      <c r="Q10" s="4" t="str">
        <f>IF(O10="","",MAX(O10,1))</f>
        <v/>
      </c>
      <c r="R10" s="4" t="str">
        <f>IF(OR(O10="",P10=""),"",MAX(O10,1)+P10)</f>
        <v/>
      </c>
      <c r="S10" s="4" t="str">
        <f>IF(OR(O10="",P10=""),"",MAX(O10,1)+2*P10)</f>
        <v/>
      </c>
      <c r="T10" s="3" t="s">
        <v>27</v>
      </c>
    </row>
    <row r="11" spans="1:20" x14ac:dyDescent="0.25">
      <c r="A11" t="s">
        <v>49</v>
      </c>
      <c r="B11" t="s">
        <v>50</v>
      </c>
      <c r="C11" t="s">
        <v>23</v>
      </c>
      <c r="D11" t="s">
        <v>30</v>
      </c>
      <c r="E11" t="s">
        <v>31</v>
      </c>
      <c r="F11" t="s">
        <v>51</v>
      </c>
      <c r="G11" t="s">
        <v>27</v>
      </c>
      <c r="H11">
        <v>21</v>
      </c>
      <c r="I11">
        <v>7</v>
      </c>
      <c r="J11" t="s">
        <v>52</v>
      </c>
      <c r="K11" s="5" t="s">
        <v>53</v>
      </c>
      <c r="L11">
        <v>21</v>
      </c>
      <c r="M11">
        <v>28</v>
      </c>
      <c r="N11">
        <v>35</v>
      </c>
      <c r="O11" s="3" t="s">
        <v>27</v>
      </c>
      <c r="P11" s="3" t="s">
        <v>27</v>
      </c>
      <c r="Q11" s="4" t="str">
        <f>IF(O11="","",MAX(O11,1))</f>
        <v/>
      </c>
      <c r="R11" s="4" t="str">
        <f>IF(OR(O11="",P11=""),"",MAX(O11,1)+P11)</f>
        <v/>
      </c>
      <c r="S11" s="4" t="str">
        <f>IF(OR(O11="",P11=""),"",MAX(O11,1)+2*P11)</f>
        <v/>
      </c>
      <c r="T11" s="3" t="s">
        <v>27</v>
      </c>
    </row>
    <row r="12" spans="1:20" x14ac:dyDescent="0.25">
      <c r="A12" t="s">
        <v>54</v>
      </c>
      <c r="B12" t="s">
        <v>55</v>
      </c>
      <c r="C12" t="s">
        <v>23</v>
      </c>
      <c r="D12" t="s">
        <v>30</v>
      </c>
      <c r="E12" t="s">
        <v>31</v>
      </c>
      <c r="F12" s="6" t="s">
        <v>56</v>
      </c>
      <c r="G12" s="7" t="s">
        <v>57</v>
      </c>
      <c r="H12">
        <v>3</v>
      </c>
      <c r="I12">
        <v>5</v>
      </c>
      <c r="J12" t="s">
        <v>27</v>
      </c>
      <c r="K12" t="s">
        <v>27</v>
      </c>
      <c r="L12">
        <v>3</v>
      </c>
      <c r="M12">
        <v>8</v>
      </c>
      <c r="N12">
        <v>13</v>
      </c>
      <c r="O12" s="3" t="s">
        <v>27</v>
      </c>
      <c r="P12" s="3" t="s">
        <v>27</v>
      </c>
      <c r="Q12" s="4" t="str">
        <f>IF(O12="","",MAX(O12,1))</f>
        <v/>
      </c>
      <c r="R12" s="4" t="str">
        <f>IF(OR(O12="",P12=""),"",MAX(O12,1)+P12)</f>
        <v/>
      </c>
      <c r="S12" s="4" t="str">
        <f>IF(OR(O12="",P12=""),"",MAX(O12,1)+2*P12)</f>
        <v/>
      </c>
      <c r="T12" s="3" t="s">
        <v>27</v>
      </c>
    </row>
    <row r="13" spans="1:20" x14ac:dyDescent="0.25">
      <c r="A13" t="s">
        <v>58</v>
      </c>
      <c r="B13" t="s">
        <v>59</v>
      </c>
      <c r="C13" t="s">
        <v>23</v>
      </c>
      <c r="D13" t="s">
        <v>24</v>
      </c>
      <c r="E13" t="s">
        <v>25</v>
      </c>
      <c r="F13" t="s">
        <v>60</v>
      </c>
      <c r="G13" t="s">
        <v>27</v>
      </c>
      <c r="H13">
        <v>5</v>
      </c>
      <c r="I13">
        <v>5</v>
      </c>
      <c r="J13" t="s">
        <v>27</v>
      </c>
      <c r="K13" t="s">
        <v>27</v>
      </c>
      <c r="L13">
        <v>5</v>
      </c>
      <c r="M13">
        <v>10</v>
      </c>
      <c r="N13">
        <v>15</v>
      </c>
      <c r="O13" s="3" t="s">
        <v>27</v>
      </c>
      <c r="P13" s="3" t="s">
        <v>27</v>
      </c>
      <c r="Q13" s="4" t="str">
        <f>IF(O13="","",MAX(O13,1))</f>
        <v/>
      </c>
      <c r="R13" s="4" t="str">
        <f>IF(OR(O13="",P13=""),"",MAX(O13,1)+P13)</f>
        <v/>
      </c>
      <c r="S13" s="4" t="str">
        <f>IF(OR(O13="",P13=""),"",MAX(O13,1)+2*P13)</f>
        <v/>
      </c>
      <c r="T13" s="3" t="s">
        <v>27</v>
      </c>
    </row>
    <row r="14" spans="1:20" x14ac:dyDescent="0.25">
      <c r="A14" t="s">
        <v>61</v>
      </c>
      <c r="B14" t="s">
        <v>62</v>
      </c>
      <c r="C14" t="s">
        <v>23</v>
      </c>
      <c r="D14" t="s">
        <v>30</v>
      </c>
      <c r="E14" t="s">
        <v>31</v>
      </c>
      <c r="F14" t="s">
        <v>63</v>
      </c>
      <c r="G14" t="s">
        <v>27</v>
      </c>
      <c r="H14">
        <v>2</v>
      </c>
      <c r="I14">
        <v>3</v>
      </c>
      <c r="J14" t="s">
        <v>27</v>
      </c>
      <c r="K14" t="s">
        <v>27</v>
      </c>
      <c r="L14">
        <v>2</v>
      </c>
      <c r="M14">
        <v>5</v>
      </c>
      <c r="N14">
        <v>8</v>
      </c>
      <c r="O14" s="3" t="s">
        <v>27</v>
      </c>
      <c r="P14" s="3" t="s">
        <v>27</v>
      </c>
      <c r="Q14" s="4" t="str">
        <f>IF(O14="","",MAX(O14,1))</f>
        <v/>
      </c>
      <c r="R14" s="4" t="str">
        <f>IF(OR(O14="",P14=""),"",MAX(O14,1)+P14)</f>
        <v/>
      </c>
      <c r="S14" s="4" t="str">
        <f>IF(OR(O14="",P14=""),"",MAX(O14,1)+2*P14)</f>
        <v/>
      </c>
      <c r="T14" s="3" t="s">
        <v>27</v>
      </c>
    </row>
    <row r="15" spans="1:20" x14ac:dyDescent="0.25">
      <c r="A15" t="s">
        <v>64</v>
      </c>
      <c r="B15" t="s">
        <v>65</v>
      </c>
      <c r="C15" t="s">
        <v>23</v>
      </c>
      <c r="D15" t="s">
        <v>30</v>
      </c>
      <c r="E15" t="s">
        <v>31</v>
      </c>
      <c r="F15" s="6" t="s">
        <v>66</v>
      </c>
      <c r="G15" s="7" t="s">
        <v>57</v>
      </c>
      <c r="H15">
        <v>3</v>
      </c>
      <c r="I15">
        <v>5</v>
      </c>
      <c r="J15" t="s">
        <v>27</v>
      </c>
      <c r="K15" t="s">
        <v>27</v>
      </c>
      <c r="L15">
        <v>3</v>
      </c>
      <c r="M15">
        <v>8</v>
      </c>
      <c r="N15">
        <v>13</v>
      </c>
      <c r="O15" s="3" t="s">
        <v>27</v>
      </c>
      <c r="P15" s="3" t="s">
        <v>27</v>
      </c>
      <c r="Q15" s="4" t="str">
        <f>IF(O15="","",MAX(O15,1))</f>
        <v/>
      </c>
      <c r="R15" s="4" t="str">
        <f>IF(OR(O15="",P15=""),"",MAX(O15,1)+P15)</f>
        <v/>
      </c>
      <c r="S15" s="4" t="str">
        <f>IF(OR(O15="",P15=""),"",MAX(O15,1)+2*P15)</f>
        <v/>
      </c>
      <c r="T15" s="3" t="s">
        <v>27</v>
      </c>
    </row>
    <row r="16" spans="1:20" x14ac:dyDescent="0.25">
      <c r="A16" t="s">
        <v>67</v>
      </c>
      <c r="B16" t="s">
        <v>68</v>
      </c>
      <c r="C16" t="s">
        <v>23</v>
      </c>
      <c r="D16" t="s">
        <v>24</v>
      </c>
      <c r="E16" t="s">
        <v>25</v>
      </c>
      <c r="F16" t="s">
        <v>69</v>
      </c>
      <c r="G16" t="s">
        <v>27</v>
      </c>
      <c r="H16">
        <v>5</v>
      </c>
      <c r="I16">
        <v>5</v>
      </c>
      <c r="J16" t="s">
        <v>27</v>
      </c>
      <c r="K16" t="s">
        <v>27</v>
      </c>
      <c r="L16">
        <v>5</v>
      </c>
      <c r="M16">
        <v>10</v>
      </c>
      <c r="N16">
        <v>15</v>
      </c>
      <c r="O16" s="3" t="s">
        <v>27</v>
      </c>
      <c r="P16" s="3" t="s">
        <v>27</v>
      </c>
      <c r="Q16" s="4" t="str">
        <f>IF(O16="","",MAX(O16,1))</f>
        <v/>
      </c>
      <c r="R16" s="4" t="str">
        <f>IF(OR(O16="",P16=""),"",MAX(O16,1)+P16)</f>
        <v/>
      </c>
      <c r="S16" s="4" t="str">
        <f>IF(OR(O16="",P16=""),"",MAX(O16,1)+2*P16)</f>
        <v/>
      </c>
      <c r="T16" s="3" t="s">
        <v>27</v>
      </c>
    </row>
    <row r="17" spans="1:20" x14ac:dyDescent="0.25">
      <c r="A17" t="s">
        <v>70</v>
      </c>
      <c r="B17" t="s">
        <v>71</v>
      </c>
      <c r="C17" t="s">
        <v>23</v>
      </c>
      <c r="D17" t="s">
        <v>30</v>
      </c>
      <c r="E17" t="s">
        <v>31</v>
      </c>
      <c r="F17" t="s">
        <v>72</v>
      </c>
      <c r="G17" t="s">
        <v>27</v>
      </c>
      <c r="H17">
        <v>2</v>
      </c>
      <c r="I17">
        <v>2</v>
      </c>
      <c r="J17" t="s">
        <v>27</v>
      </c>
      <c r="K17" t="s">
        <v>27</v>
      </c>
      <c r="L17">
        <v>2</v>
      </c>
      <c r="M17">
        <v>4</v>
      </c>
      <c r="N17">
        <v>6</v>
      </c>
      <c r="O17" s="3" t="s">
        <v>27</v>
      </c>
      <c r="P17" s="3" t="s">
        <v>27</v>
      </c>
      <c r="Q17" s="4" t="str">
        <f>IF(O17="","",MAX(O17,1))</f>
        <v/>
      </c>
      <c r="R17" s="4" t="str">
        <f>IF(OR(O17="",P17=""),"",MAX(O17,1)+P17)</f>
        <v/>
      </c>
      <c r="S17" s="4" t="str">
        <f>IF(OR(O17="",P17=""),"",MAX(O17,1)+2*P17)</f>
        <v/>
      </c>
      <c r="T17" s="3" t="s">
        <v>27</v>
      </c>
    </row>
    <row r="18" spans="1:20" x14ac:dyDescent="0.25">
      <c r="A18" t="s">
        <v>73</v>
      </c>
      <c r="B18" t="s">
        <v>74</v>
      </c>
      <c r="C18" t="s">
        <v>23</v>
      </c>
      <c r="D18" t="s">
        <v>24</v>
      </c>
      <c r="E18" t="s">
        <v>25</v>
      </c>
      <c r="F18" t="s">
        <v>75</v>
      </c>
      <c r="G18" t="s">
        <v>27</v>
      </c>
      <c r="H18">
        <v>3</v>
      </c>
      <c r="I18">
        <v>5</v>
      </c>
      <c r="J18" t="s">
        <v>27</v>
      </c>
      <c r="K18" t="s">
        <v>27</v>
      </c>
      <c r="L18">
        <v>3</v>
      </c>
      <c r="M18">
        <v>8</v>
      </c>
      <c r="N18">
        <v>13</v>
      </c>
      <c r="O18" s="3" t="s">
        <v>27</v>
      </c>
      <c r="P18" s="3" t="s">
        <v>27</v>
      </c>
      <c r="Q18" s="4" t="str">
        <f>IF(O18="","",MAX(O18,1))</f>
        <v/>
      </c>
      <c r="R18" s="4" t="str">
        <f>IF(OR(O18="",P18=""),"",MAX(O18,1)+P18)</f>
        <v/>
      </c>
      <c r="S18" s="4" t="str">
        <f>IF(OR(O18="",P18=""),"",MAX(O18,1)+2*P18)</f>
        <v/>
      </c>
      <c r="T18" s="3" t="s">
        <v>27</v>
      </c>
    </row>
    <row r="19" spans="1:20" x14ac:dyDescent="0.25">
      <c r="A19" t="s">
        <v>76</v>
      </c>
      <c r="B19" t="s">
        <v>77</v>
      </c>
      <c r="C19" t="s">
        <v>23</v>
      </c>
      <c r="D19" t="s">
        <v>24</v>
      </c>
      <c r="E19" t="s">
        <v>25</v>
      </c>
      <c r="F19" t="s">
        <v>78</v>
      </c>
      <c r="G19" t="s">
        <v>27</v>
      </c>
      <c r="H19">
        <v>5</v>
      </c>
      <c r="I19">
        <v>5</v>
      </c>
      <c r="J19" t="s">
        <v>27</v>
      </c>
      <c r="K19" t="s">
        <v>27</v>
      </c>
      <c r="L19">
        <v>5</v>
      </c>
      <c r="M19">
        <v>10</v>
      </c>
      <c r="N19">
        <v>15</v>
      </c>
      <c r="O19" s="3" t="s">
        <v>27</v>
      </c>
      <c r="P19" s="3" t="s">
        <v>27</v>
      </c>
      <c r="Q19" s="4" t="str">
        <f>IF(O19="","",MAX(O19,1))</f>
        <v/>
      </c>
      <c r="R19" s="4" t="str">
        <f>IF(OR(O19="",P19=""),"",MAX(O19,1)+P19)</f>
        <v/>
      </c>
      <c r="S19" s="4" t="str">
        <f>IF(OR(O19="",P19=""),"",MAX(O19,1)+2*P19)</f>
        <v/>
      </c>
      <c r="T19" s="3" t="s">
        <v>27</v>
      </c>
    </row>
    <row r="20" spans="1:20" s="8" customFormat="1" x14ac:dyDescent="0.25">
      <c r="A20" s="8" t="s">
        <v>79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25">
      <c r="A21" t="s">
        <v>80</v>
      </c>
      <c r="B21" t="s">
        <v>22</v>
      </c>
      <c r="C21" t="s">
        <v>81</v>
      </c>
      <c r="D21" t="s">
        <v>24</v>
      </c>
      <c r="E21" t="s">
        <v>25</v>
      </c>
      <c r="F21" t="s">
        <v>26</v>
      </c>
      <c r="G21" t="s">
        <v>27</v>
      </c>
      <c r="H21">
        <v>2</v>
      </c>
      <c r="I21">
        <v>3</v>
      </c>
      <c r="J21" t="s">
        <v>27</v>
      </c>
      <c r="K21" t="s">
        <v>27</v>
      </c>
      <c r="L21">
        <v>2</v>
      </c>
      <c r="M21">
        <v>5</v>
      </c>
      <c r="N21">
        <v>8</v>
      </c>
      <c r="O21" s="3" t="s">
        <v>27</v>
      </c>
      <c r="P21" s="3" t="s">
        <v>27</v>
      </c>
      <c r="Q21" s="4" t="str">
        <f>IF(O21="","",MAX(O21,1))</f>
        <v/>
      </c>
      <c r="R21" s="4" t="str">
        <f>IF(OR(O21="",P21=""),"",MAX(O21,1)+P21)</f>
        <v/>
      </c>
      <c r="S21" s="4" t="str">
        <f>IF(OR(O21="",P21=""),"",MAX(O21,1)+2*P21)</f>
        <v/>
      </c>
      <c r="T21" s="3" t="s">
        <v>27</v>
      </c>
    </row>
    <row r="22" spans="1:20" x14ac:dyDescent="0.25">
      <c r="A22" t="s">
        <v>82</v>
      </c>
      <c r="B22" t="s">
        <v>29</v>
      </c>
      <c r="C22" t="s">
        <v>81</v>
      </c>
      <c r="D22" t="s">
        <v>30</v>
      </c>
      <c r="E22" t="s">
        <v>31</v>
      </c>
      <c r="F22" t="s">
        <v>26</v>
      </c>
      <c r="G22" t="s">
        <v>27</v>
      </c>
      <c r="H22">
        <v>0</v>
      </c>
      <c r="I22">
        <v>2</v>
      </c>
      <c r="J22" t="s">
        <v>27</v>
      </c>
      <c r="K22" t="s">
        <v>32</v>
      </c>
      <c r="L22">
        <v>1</v>
      </c>
      <c r="M22">
        <v>3</v>
      </c>
      <c r="N22">
        <v>5</v>
      </c>
      <c r="O22" s="3" t="s">
        <v>27</v>
      </c>
      <c r="P22" s="3" t="s">
        <v>27</v>
      </c>
      <c r="Q22" s="4" t="str">
        <f>IF(O22="","",MAX(O22,1))</f>
        <v/>
      </c>
      <c r="R22" s="4" t="str">
        <f>IF(OR(O22="",P22=""),"",MAX(O22,1)+P22)</f>
        <v/>
      </c>
      <c r="S22" s="4" t="str">
        <f>IF(OR(O22="",P22=""),"",MAX(O22,1)+2*P22)</f>
        <v/>
      </c>
      <c r="T22" s="3" t="s">
        <v>27</v>
      </c>
    </row>
    <row r="23" spans="1:20" x14ac:dyDescent="0.25">
      <c r="A23" t="s">
        <v>83</v>
      </c>
      <c r="B23" t="s">
        <v>37</v>
      </c>
      <c r="C23" t="s">
        <v>81</v>
      </c>
      <c r="D23" t="s">
        <v>24</v>
      </c>
      <c r="E23" t="s">
        <v>25</v>
      </c>
      <c r="F23" t="s">
        <v>84</v>
      </c>
      <c r="G23" t="s">
        <v>27</v>
      </c>
      <c r="H23">
        <v>3</v>
      </c>
      <c r="I23">
        <v>5</v>
      </c>
      <c r="J23" t="s">
        <v>27</v>
      </c>
      <c r="K23" t="s">
        <v>27</v>
      </c>
      <c r="L23">
        <v>3</v>
      </c>
      <c r="M23">
        <v>8</v>
      </c>
      <c r="N23">
        <v>13</v>
      </c>
      <c r="O23" s="3" t="s">
        <v>27</v>
      </c>
      <c r="P23" s="3" t="s">
        <v>27</v>
      </c>
      <c r="Q23" s="4" t="str">
        <f>IF(O23="","",MAX(O23,1))</f>
        <v/>
      </c>
      <c r="R23" s="4" t="str">
        <f>IF(OR(O23="",P23=""),"",MAX(O23,1)+P23)</f>
        <v/>
      </c>
      <c r="S23" s="4" t="str">
        <f>IF(OR(O23="",P23=""),"",MAX(O23,1)+2*P23)</f>
        <v/>
      </c>
      <c r="T23" s="3" t="s">
        <v>27</v>
      </c>
    </row>
    <row r="24" spans="1:20" x14ac:dyDescent="0.25">
      <c r="A24" t="s">
        <v>85</v>
      </c>
      <c r="B24" t="s">
        <v>86</v>
      </c>
      <c r="C24" t="s">
        <v>81</v>
      </c>
      <c r="D24" t="s">
        <v>24</v>
      </c>
      <c r="E24" t="s">
        <v>25</v>
      </c>
      <c r="F24" t="s">
        <v>84</v>
      </c>
      <c r="G24" t="s">
        <v>27</v>
      </c>
      <c r="H24">
        <v>5</v>
      </c>
      <c r="I24">
        <v>5</v>
      </c>
      <c r="J24" t="s">
        <v>27</v>
      </c>
      <c r="K24" t="s">
        <v>27</v>
      </c>
      <c r="L24">
        <v>5</v>
      </c>
      <c r="M24">
        <v>10</v>
      </c>
      <c r="N24">
        <v>15</v>
      </c>
      <c r="O24" s="3" t="s">
        <v>27</v>
      </c>
      <c r="P24" s="3" t="s">
        <v>27</v>
      </c>
      <c r="Q24" s="4" t="str">
        <f>IF(O24="","",MAX(O24,1))</f>
        <v/>
      </c>
      <c r="R24" s="4" t="str">
        <f>IF(OR(O24="",P24=""),"",MAX(O24,1)+P24)</f>
        <v/>
      </c>
      <c r="S24" s="4" t="str">
        <f>IF(OR(O24="",P24=""),"",MAX(O24,1)+2*P24)</f>
        <v/>
      </c>
      <c r="T24" s="3" t="s">
        <v>27</v>
      </c>
    </row>
    <row r="25" spans="1:20" x14ac:dyDescent="0.25">
      <c r="A25" t="s">
        <v>87</v>
      </c>
      <c r="B25" t="s">
        <v>88</v>
      </c>
      <c r="C25" t="s">
        <v>81</v>
      </c>
      <c r="D25" t="s">
        <v>24</v>
      </c>
      <c r="E25" t="s">
        <v>25</v>
      </c>
      <c r="F25" t="s">
        <v>26</v>
      </c>
      <c r="G25" t="s">
        <v>27</v>
      </c>
      <c r="H25">
        <v>3</v>
      </c>
      <c r="I25">
        <v>5</v>
      </c>
      <c r="J25" t="s">
        <v>27</v>
      </c>
      <c r="K25" t="s">
        <v>27</v>
      </c>
      <c r="L25">
        <v>3</v>
      </c>
      <c r="M25">
        <v>8</v>
      </c>
      <c r="N25">
        <v>13</v>
      </c>
      <c r="O25" s="3" t="s">
        <v>27</v>
      </c>
      <c r="P25" s="3" t="s">
        <v>27</v>
      </c>
      <c r="Q25" s="4" t="str">
        <f>IF(O25="","",MAX(O25,1))</f>
        <v/>
      </c>
      <c r="R25" s="4" t="str">
        <f>IF(OR(O25="",P25=""),"",MAX(O25,1)+P25)</f>
        <v/>
      </c>
      <c r="S25" s="4" t="str">
        <f>IF(OR(O25="",P25=""),"",MAX(O25,1)+2*P25)</f>
        <v/>
      </c>
      <c r="T25" s="3" t="s">
        <v>27</v>
      </c>
    </row>
    <row r="26" spans="1:20" x14ac:dyDescent="0.25">
      <c r="A26" t="s">
        <v>89</v>
      </c>
      <c r="B26" t="s">
        <v>90</v>
      </c>
      <c r="C26" t="s">
        <v>81</v>
      </c>
      <c r="D26" t="s">
        <v>91</v>
      </c>
      <c r="E26" t="s">
        <v>31</v>
      </c>
      <c r="F26" t="s">
        <v>92</v>
      </c>
      <c r="G26" t="s">
        <v>27</v>
      </c>
      <c r="H26">
        <v>7</v>
      </c>
      <c r="I26">
        <v>7</v>
      </c>
      <c r="J26" t="s">
        <v>93</v>
      </c>
      <c r="K26" t="s">
        <v>27</v>
      </c>
      <c r="L26">
        <v>7</v>
      </c>
      <c r="M26">
        <v>14</v>
      </c>
      <c r="N26">
        <v>21</v>
      </c>
      <c r="O26" s="3" t="s">
        <v>27</v>
      </c>
      <c r="P26" s="3" t="s">
        <v>27</v>
      </c>
      <c r="Q26" s="4" t="str">
        <f>IF(O26="","",MAX(O26,1))</f>
        <v/>
      </c>
      <c r="R26" s="4" t="str">
        <f>IF(OR(O26="",P26=""),"",MAX(O26,1)+P26)</f>
        <v/>
      </c>
      <c r="S26" s="4" t="str">
        <f>IF(OR(O26="",P26=""),"",MAX(O26,1)+2*P26)</f>
        <v/>
      </c>
      <c r="T26" s="3" t="s">
        <v>27</v>
      </c>
    </row>
    <row r="27" spans="1:20" x14ac:dyDescent="0.25">
      <c r="A27" t="s">
        <v>94</v>
      </c>
      <c r="B27" t="s">
        <v>95</v>
      </c>
      <c r="C27" t="s">
        <v>81</v>
      </c>
      <c r="D27" t="s">
        <v>30</v>
      </c>
      <c r="E27" t="s">
        <v>31</v>
      </c>
      <c r="F27" s="6" t="s">
        <v>75</v>
      </c>
      <c r="G27" s="7" t="s">
        <v>57</v>
      </c>
      <c r="H27">
        <v>2</v>
      </c>
      <c r="I27">
        <v>3</v>
      </c>
      <c r="J27" t="s">
        <v>27</v>
      </c>
      <c r="K27" t="s">
        <v>27</v>
      </c>
      <c r="L27">
        <v>2</v>
      </c>
      <c r="M27">
        <v>5</v>
      </c>
      <c r="N27">
        <v>8</v>
      </c>
      <c r="O27" s="3" t="s">
        <v>27</v>
      </c>
      <c r="P27" s="3" t="s">
        <v>27</v>
      </c>
      <c r="Q27" s="4" t="str">
        <f>IF(O27="","",MAX(O27,1))</f>
        <v/>
      </c>
      <c r="R27" s="4" t="str">
        <f>IF(OR(O27="",P27=""),"",MAX(O27,1)+P27)</f>
        <v/>
      </c>
      <c r="S27" s="4" t="str">
        <f>IF(OR(O27="",P27=""),"",MAX(O27,1)+2*P27)</f>
        <v/>
      </c>
      <c r="T27" s="3" t="s">
        <v>27</v>
      </c>
    </row>
    <row r="28" spans="1:20" x14ac:dyDescent="0.25">
      <c r="A28" t="s">
        <v>96</v>
      </c>
      <c r="B28" t="s">
        <v>97</v>
      </c>
      <c r="C28" t="s">
        <v>81</v>
      </c>
      <c r="D28" t="s">
        <v>30</v>
      </c>
      <c r="E28" t="s">
        <v>31</v>
      </c>
      <c r="F28" t="s">
        <v>98</v>
      </c>
      <c r="G28" t="s">
        <v>27</v>
      </c>
      <c r="H28">
        <v>3</v>
      </c>
      <c r="I28">
        <v>3</v>
      </c>
      <c r="J28" t="s">
        <v>99</v>
      </c>
      <c r="K28" s="9" t="s">
        <v>100</v>
      </c>
      <c r="L28">
        <v>3</v>
      </c>
      <c r="M28">
        <v>6</v>
      </c>
      <c r="N28">
        <v>9</v>
      </c>
      <c r="O28" s="3" t="s">
        <v>27</v>
      </c>
      <c r="P28" s="3" t="s">
        <v>27</v>
      </c>
      <c r="Q28" s="4" t="str">
        <f>IF(O28="","",MAX(O28,1))</f>
        <v/>
      </c>
      <c r="R28" s="4" t="str">
        <f>IF(OR(O28="",P28=""),"",MAX(O28,1)+P28)</f>
        <v/>
      </c>
      <c r="S28" s="4" t="str">
        <f>IF(OR(O28="",P28=""),"",MAX(O28,1)+2*P28)</f>
        <v/>
      </c>
      <c r="T28" s="3" t="s">
        <v>27</v>
      </c>
    </row>
    <row r="29" spans="1:20" x14ac:dyDescent="0.25">
      <c r="A29" t="s">
        <v>101</v>
      </c>
      <c r="B29" t="s">
        <v>102</v>
      </c>
      <c r="C29" t="s">
        <v>81</v>
      </c>
      <c r="D29" t="s">
        <v>24</v>
      </c>
      <c r="E29" t="s">
        <v>25</v>
      </c>
      <c r="F29" t="s">
        <v>26</v>
      </c>
      <c r="G29" t="s">
        <v>27</v>
      </c>
      <c r="H29">
        <v>7</v>
      </c>
      <c r="I29">
        <v>5</v>
      </c>
      <c r="J29" t="s">
        <v>27</v>
      </c>
      <c r="K29" t="s">
        <v>27</v>
      </c>
      <c r="L29">
        <v>7</v>
      </c>
      <c r="M29">
        <v>12</v>
      </c>
      <c r="N29">
        <v>17</v>
      </c>
      <c r="O29" s="3" t="s">
        <v>27</v>
      </c>
      <c r="P29" s="3" t="s">
        <v>27</v>
      </c>
      <c r="Q29" s="4" t="str">
        <f>IF(O29="","",MAX(O29,1))</f>
        <v/>
      </c>
      <c r="R29" s="4" t="str">
        <f>IF(OR(O29="",P29=""),"",MAX(O29,1)+P29)</f>
        <v/>
      </c>
      <c r="S29" s="4" t="str">
        <f>IF(OR(O29="",P29=""),"",MAX(O29,1)+2*P29)</f>
        <v/>
      </c>
      <c r="T29" s="3" t="s">
        <v>27</v>
      </c>
    </row>
    <row r="30" spans="1:20" x14ac:dyDescent="0.25">
      <c r="A30" t="s">
        <v>103</v>
      </c>
      <c r="B30" t="s">
        <v>104</v>
      </c>
      <c r="C30" t="s">
        <v>81</v>
      </c>
      <c r="D30" t="s">
        <v>24</v>
      </c>
      <c r="E30" t="s">
        <v>25</v>
      </c>
      <c r="F30" t="s">
        <v>105</v>
      </c>
      <c r="G30" t="s">
        <v>27</v>
      </c>
      <c r="H30">
        <v>7</v>
      </c>
      <c r="I30">
        <v>5</v>
      </c>
      <c r="J30" t="s">
        <v>27</v>
      </c>
      <c r="K30" t="s">
        <v>27</v>
      </c>
      <c r="L30">
        <v>7</v>
      </c>
      <c r="M30">
        <v>12</v>
      </c>
      <c r="N30">
        <v>17</v>
      </c>
      <c r="O30" s="3" t="s">
        <v>27</v>
      </c>
      <c r="P30" s="3" t="s">
        <v>27</v>
      </c>
      <c r="Q30" s="4" t="str">
        <f>IF(O30="","",MAX(O30,1))</f>
        <v/>
      </c>
      <c r="R30" s="4" t="str">
        <f>IF(OR(O30="",P30=""),"",MAX(O30,1)+P30)</f>
        <v/>
      </c>
      <c r="S30" s="4" t="str">
        <f>IF(OR(O30="",P30=""),"",MAX(O30,1)+2*P30)</f>
        <v/>
      </c>
      <c r="T30" s="3" t="s">
        <v>27</v>
      </c>
    </row>
    <row r="31" spans="1:20" x14ac:dyDescent="0.25">
      <c r="A31" t="s">
        <v>106</v>
      </c>
      <c r="B31" t="s">
        <v>107</v>
      </c>
      <c r="C31" t="s">
        <v>81</v>
      </c>
      <c r="D31" t="s">
        <v>91</v>
      </c>
      <c r="E31" t="s">
        <v>31</v>
      </c>
      <c r="F31" t="s">
        <v>108</v>
      </c>
      <c r="G31" t="s">
        <v>27</v>
      </c>
      <c r="H31">
        <v>14</v>
      </c>
      <c r="I31">
        <v>5</v>
      </c>
      <c r="J31" t="s">
        <v>109</v>
      </c>
      <c r="K31" t="s">
        <v>27</v>
      </c>
      <c r="L31">
        <v>14</v>
      </c>
      <c r="M31">
        <v>19</v>
      </c>
      <c r="N31">
        <v>24</v>
      </c>
      <c r="O31" s="3" t="s">
        <v>27</v>
      </c>
      <c r="P31" s="3" t="s">
        <v>27</v>
      </c>
      <c r="Q31" s="4" t="str">
        <f>IF(O31="","",MAX(O31,1))</f>
        <v/>
      </c>
      <c r="R31" s="4" t="str">
        <f>IF(OR(O31="",P31=""),"",MAX(O31,1)+P31)</f>
        <v/>
      </c>
      <c r="S31" s="4" t="str">
        <f>IF(OR(O31="",P31=""),"",MAX(O31,1)+2*P31)</f>
        <v/>
      </c>
      <c r="T31" s="3" t="s">
        <v>27</v>
      </c>
    </row>
    <row r="32" spans="1:20" x14ac:dyDescent="0.25">
      <c r="A32" t="s">
        <v>110</v>
      </c>
      <c r="B32" t="s">
        <v>50</v>
      </c>
      <c r="C32" t="s">
        <v>81</v>
      </c>
      <c r="D32" t="s">
        <v>30</v>
      </c>
      <c r="E32" t="s">
        <v>31</v>
      </c>
      <c r="F32" s="6" t="s">
        <v>111</v>
      </c>
      <c r="G32" s="7" t="s">
        <v>57</v>
      </c>
      <c r="H32">
        <v>3</v>
      </c>
      <c r="I32">
        <v>10</v>
      </c>
      <c r="J32" t="s">
        <v>27</v>
      </c>
      <c r="K32" t="s">
        <v>27</v>
      </c>
      <c r="L32">
        <v>3</v>
      </c>
      <c r="M32">
        <v>13</v>
      </c>
      <c r="N32">
        <v>23</v>
      </c>
      <c r="O32" s="3" t="s">
        <v>27</v>
      </c>
      <c r="P32" s="3" t="s">
        <v>27</v>
      </c>
      <c r="Q32" s="4" t="str">
        <f>IF(O32="","",MAX(O32,1))</f>
        <v/>
      </c>
      <c r="R32" s="4" t="str">
        <f>IF(OR(O32="",P32=""),"",MAX(O32,1)+P32)</f>
        <v/>
      </c>
      <c r="S32" s="4" t="str">
        <f>IF(OR(O32="",P32=""),"",MAX(O32,1)+2*P32)</f>
        <v/>
      </c>
      <c r="T32" s="3" t="s">
        <v>27</v>
      </c>
    </row>
    <row r="33" spans="1:20" x14ac:dyDescent="0.25">
      <c r="A33" t="s">
        <v>112</v>
      </c>
      <c r="B33" t="s">
        <v>113</v>
      </c>
      <c r="C33" t="s">
        <v>81</v>
      </c>
      <c r="D33" t="s">
        <v>30</v>
      </c>
      <c r="E33" t="s">
        <v>31</v>
      </c>
      <c r="F33" t="s">
        <v>114</v>
      </c>
      <c r="G33" t="s">
        <v>27</v>
      </c>
      <c r="H33">
        <v>21</v>
      </c>
      <c r="I33">
        <v>7</v>
      </c>
      <c r="J33" t="s">
        <v>115</v>
      </c>
      <c r="K33" t="s">
        <v>27</v>
      </c>
      <c r="L33">
        <v>21</v>
      </c>
      <c r="M33">
        <v>28</v>
      </c>
      <c r="N33">
        <v>35</v>
      </c>
      <c r="O33" s="3" t="s">
        <v>27</v>
      </c>
      <c r="P33" s="3" t="s">
        <v>27</v>
      </c>
      <c r="Q33" s="4" t="str">
        <f>IF(O33="","",MAX(O33,1))</f>
        <v/>
      </c>
      <c r="R33" s="4" t="str">
        <f>IF(OR(O33="",P33=""),"",MAX(O33,1)+P33)</f>
        <v/>
      </c>
      <c r="S33" s="4" t="str">
        <f>IF(OR(O33="",P33=""),"",MAX(O33,1)+2*P33)</f>
        <v/>
      </c>
      <c r="T33" s="3" t="s">
        <v>27</v>
      </c>
    </row>
    <row r="34" spans="1:20" x14ac:dyDescent="0.25">
      <c r="A34" t="s">
        <v>116</v>
      </c>
      <c r="B34" t="s">
        <v>117</v>
      </c>
      <c r="C34" t="s">
        <v>81</v>
      </c>
      <c r="D34" t="s">
        <v>30</v>
      </c>
      <c r="E34" t="s">
        <v>31</v>
      </c>
      <c r="F34" t="s">
        <v>98</v>
      </c>
      <c r="G34" t="s">
        <v>27</v>
      </c>
      <c r="H34">
        <v>5</v>
      </c>
      <c r="I34">
        <v>5</v>
      </c>
      <c r="J34" t="s">
        <v>27</v>
      </c>
      <c r="K34" t="s">
        <v>27</v>
      </c>
      <c r="L34">
        <v>5</v>
      </c>
      <c r="M34">
        <v>10</v>
      </c>
      <c r="N34">
        <v>15</v>
      </c>
      <c r="O34" s="3" t="s">
        <v>27</v>
      </c>
      <c r="P34" s="3" t="s">
        <v>27</v>
      </c>
      <c r="Q34" s="4" t="str">
        <f>IF(O34="","",MAX(O34,1))</f>
        <v/>
      </c>
      <c r="R34" s="4" t="str">
        <f>IF(OR(O34="",P34=""),"",MAX(O34,1)+P34)</f>
        <v/>
      </c>
      <c r="S34" s="4" t="str">
        <f>IF(OR(O34="",P34=""),"",MAX(O34,1)+2*P34)</f>
        <v/>
      </c>
      <c r="T34" s="3" t="s">
        <v>27</v>
      </c>
    </row>
    <row r="35" spans="1:20" x14ac:dyDescent="0.25">
      <c r="A35" t="s">
        <v>118</v>
      </c>
      <c r="B35" t="s">
        <v>119</v>
      </c>
      <c r="C35" t="s">
        <v>81</v>
      </c>
      <c r="D35" t="s">
        <v>30</v>
      </c>
      <c r="E35" t="s">
        <v>31</v>
      </c>
      <c r="F35" s="6" t="s">
        <v>120</v>
      </c>
      <c r="G35" s="7" t="s">
        <v>57</v>
      </c>
      <c r="H35">
        <v>14</v>
      </c>
      <c r="I35">
        <v>3</v>
      </c>
      <c r="J35" t="s">
        <v>27</v>
      </c>
      <c r="K35" t="s">
        <v>27</v>
      </c>
      <c r="L35">
        <v>14</v>
      </c>
      <c r="M35">
        <v>17</v>
      </c>
      <c r="N35">
        <v>20</v>
      </c>
      <c r="O35" s="3" t="s">
        <v>27</v>
      </c>
      <c r="P35" s="3" t="s">
        <v>27</v>
      </c>
      <c r="Q35" s="4" t="str">
        <f>IF(O35="","",MAX(O35,1))</f>
        <v/>
      </c>
      <c r="R35" s="4" t="str">
        <f>IF(OR(O35="",P35=""),"",MAX(O35,1)+P35)</f>
        <v/>
      </c>
      <c r="S35" s="4" t="str">
        <f>IF(OR(O35="",P35=""),"",MAX(O35,1)+2*P35)</f>
        <v/>
      </c>
      <c r="T35" s="3" t="s">
        <v>27</v>
      </c>
    </row>
    <row r="36" spans="1:20" x14ac:dyDescent="0.25">
      <c r="A36" t="s">
        <v>121</v>
      </c>
      <c r="B36" t="s">
        <v>122</v>
      </c>
      <c r="C36" t="s">
        <v>81</v>
      </c>
      <c r="D36" t="s">
        <v>30</v>
      </c>
      <c r="E36" t="s">
        <v>31</v>
      </c>
      <c r="F36" t="s">
        <v>123</v>
      </c>
      <c r="G36" t="s">
        <v>27</v>
      </c>
      <c r="H36">
        <v>3</v>
      </c>
      <c r="I36">
        <v>3</v>
      </c>
      <c r="J36" t="s">
        <v>27</v>
      </c>
      <c r="K36" t="s">
        <v>27</v>
      </c>
      <c r="L36">
        <v>3</v>
      </c>
      <c r="M36">
        <v>6</v>
      </c>
      <c r="N36">
        <v>9</v>
      </c>
      <c r="O36" s="3" t="s">
        <v>27</v>
      </c>
      <c r="P36" s="3" t="s">
        <v>27</v>
      </c>
      <c r="Q36" s="4" t="str">
        <f>IF(O36="","",MAX(O36,1))</f>
        <v/>
      </c>
      <c r="R36" s="4" t="str">
        <f>IF(OR(O36="",P36=""),"",MAX(O36,1)+P36)</f>
        <v/>
      </c>
      <c r="S36" s="4" t="str">
        <f>IF(OR(O36="",P36=""),"",MAX(O36,1)+2*P36)</f>
        <v/>
      </c>
      <c r="T36" s="3" t="s">
        <v>27</v>
      </c>
    </row>
    <row r="37" spans="1:20" x14ac:dyDescent="0.25">
      <c r="A37" t="s">
        <v>124</v>
      </c>
      <c r="B37" t="s">
        <v>125</v>
      </c>
      <c r="C37" t="s">
        <v>81</v>
      </c>
      <c r="D37" t="s">
        <v>30</v>
      </c>
      <c r="E37" t="s">
        <v>31</v>
      </c>
      <c r="F37" t="s">
        <v>126</v>
      </c>
      <c r="G37" t="s">
        <v>27</v>
      </c>
      <c r="H37">
        <v>3</v>
      </c>
      <c r="I37">
        <v>3</v>
      </c>
      <c r="J37" t="s">
        <v>27</v>
      </c>
      <c r="K37" t="s">
        <v>27</v>
      </c>
      <c r="L37">
        <v>3</v>
      </c>
      <c r="M37">
        <v>6</v>
      </c>
      <c r="N37">
        <v>9</v>
      </c>
      <c r="O37" s="3" t="s">
        <v>27</v>
      </c>
      <c r="P37" s="3" t="s">
        <v>27</v>
      </c>
      <c r="Q37" s="4" t="str">
        <f>IF(O37="","",MAX(O37,1))</f>
        <v/>
      </c>
      <c r="R37" s="4" t="str">
        <f>IF(OR(O37="",P37=""),"",MAX(O37,1)+P37)</f>
        <v/>
      </c>
      <c r="S37" s="4" t="str">
        <f>IF(OR(O37="",P37=""),"",MAX(O37,1)+2*P37)</f>
        <v/>
      </c>
      <c r="T37" s="3" t="s">
        <v>27</v>
      </c>
    </row>
    <row r="38" spans="1:20" x14ac:dyDescent="0.25">
      <c r="A38" t="s">
        <v>127</v>
      </c>
      <c r="B38" t="s">
        <v>128</v>
      </c>
      <c r="C38" t="s">
        <v>81</v>
      </c>
      <c r="D38" t="s">
        <v>30</v>
      </c>
      <c r="E38" t="s">
        <v>31</v>
      </c>
      <c r="F38" s="6" t="s">
        <v>129</v>
      </c>
      <c r="G38" s="7" t="s">
        <v>57</v>
      </c>
      <c r="H38">
        <v>14</v>
      </c>
      <c r="I38">
        <v>7</v>
      </c>
      <c r="J38" t="s">
        <v>27</v>
      </c>
      <c r="K38" t="s">
        <v>27</v>
      </c>
      <c r="L38">
        <v>14</v>
      </c>
      <c r="M38">
        <v>21</v>
      </c>
      <c r="N38">
        <v>28</v>
      </c>
      <c r="O38" s="3" t="s">
        <v>27</v>
      </c>
      <c r="P38" s="3" t="s">
        <v>27</v>
      </c>
      <c r="Q38" s="4" t="str">
        <f>IF(O38="","",MAX(O38,1))</f>
        <v/>
      </c>
      <c r="R38" s="4" t="str">
        <f>IF(OR(O38="",P38=""),"",MAX(O38,1)+P38)</f>
        <v/>
      </c>
      <c r="S38" s="4" t="str">
        <f>IF(OR(O38="",P38=""),"",MAX(O38,1)+2*P38)</f>
        <v/>
      </c>
      <c r="T38" s="3" t="s">
        <v>27</v>
      </c>
    </row>
    <row r="39" spans="1:20" x14ac:dyDescent="0.25">
      <c r="A39" t="s">
        <v>130</v>
      </c>
      <c r="B39" t="s">
        <v>131</v>
      </c>
      <c r="C39" t="s">
        <v>81</v>
      </c>
      <c r="D39" t="s">
        <v>30</v>
      </c>
      <c r="E39" t="s">
        <v>31</v>
      </c>
      <c r="F39" t="s">
        <v>132</v>
      </c>
      <c r="G39" t="s">
        <v>27</v>
      </c>
      <c r="H39">
        <v>3</v>
      </c>
      <c r="I39">
        <v>3</v>
      </c>
      <c r="J39" t="s">
        <v>27</v>
      </c>
      <c r="K39" t="s">
        <v>27</v>
      </c>
      <c r="L39">
        <v>3</v>
      </c>
      <c r="M39">
        <v>6</v>
      </c>
      <c r="N39">
        <v>9</v>
      </c>
      <c r="O39" s="3" t="s">
        <v>27</v>
      </c>
      <c r="P39" s="3" t="s">
        <v>27</v>
      </c>
      <c r="Q39" s="4" t="str">
        <f>IF(O39="","",MAX(O39,1))</f>
        <v/>
      </c>
      <c r="R39" s="4" t="str">
        <f>IF(OR(O39="",P39=""),"",MAX(O39,1)+P39)</f>
        <v/>
      </c>
      <c r="S39" s="4" t="str">
        <f>IF(OR(O39="",P39=""),"",MAX(O39,1)+2*P39)</f>
        <v/>
      </c>
      <c r="T39" s="3" t="s">
        <v>27</v>
      </c>
    </row>
    <row r="40" spans="1:20" x14ac:dyDescent="0.25">
      <c r="A40" t="s">
        <v>133</v>
      </c>
      <c r="B40" t="s">
        <v>134</v>
      </c>
      <c r="C40" t="s">
        <v>81</v>
      </c>
      <c r="D40" t="s">
        <v>30</v>
      </c>
      <c r="E40" t="s">
        <v>31</v>
      </c>
      <c r="F40" t="s">
        <v>135</v>
      </c>
      <c r="G40" t="s">
        <v>27</v>
      </c>
      <c r="H40">
        <v>3</v>
      </c>
      <c r="I40">
        <v>3</v>
      </c>
      <c r="J40" t="s">
        <v>27</v>
      </c>
      <c r="K40" t="s">
        <v>27</v>
      </c>
      <c r="L40">
        <v>3</v>
      </c>
      <c r="M40">
        <v>6</v>
      </c>
      <c r="N40">
        <v>9</v>
      </c>
      <c r="O40" s="3" t="s">
        <v>27</v>
      </c>
      <c r="P40" s="3" t="s">
        <v>27</v>
      </c>
      <c r="Q40" s="4" t="str">
        <f>IF(O40="","",MAX(O40,1))</f>
        <v/>
      </c>
      <c r="R40" s="4" t="str">
        <f>IF(OR(O40="",P40=""),"",MAX(O40,1)+P40)</f>
        <v/>
      </c>
      <c r="S40" s="4" t="str">
        <f>IF(OR(O40="",P40=""),"",MAX(O40,1)+2*P40)</f>
        <v/>
      </c>
      <c r="T40" s="3" t="s">
        <v>27</v>
      </c>
    </row>
    <row r="41" spans="1:20" x14ac:dyDescent="0.25">
      <c r="A41" t="s">
        <v>136</v>
      </c>
      <c r="B41" t="s">
        <v>137</v>
      </c>
      <c r="C41" t="s">
        <v>81</v>
      </c>
      <c r="D41" t="s">
        <v>24</v>
      </c>
      <c r="E41" t="s">
        <v>25</v>
      </c>
      <c r="F41" t="s">
        <v>138</v>
      </c>
      <c r="G41" t="s">
        <v>27</v>
      </c>
      <c r="H41">
        <v>3</v>
      </c>
      <c r="I41">
        <v>3</v>
      </c>
      <c r="J41" t="s">
        <v>27</v>
      </c>
      <c r="K41" t="s">
        <v>27</v>
      </c>
      <c r="L41">
        <v>3</v>
      </c>
      <c r="M41">
        <v>6</v>
      </c>
      <c r="N41">
        <v>9</v>
      </c>
      <c r="O41" s="3" t="s">
        <v>27</v>
      </c>
      <c r="P41" s="3" t="s">
        <v>27</v>
      </c>
      <c r="Q41" s="4" t="str">
        <f>IF(O41="","",MAX(O41,1))</f>
        <v/>
      </c>
      <c r="R41" s="4" t="str">
        <f>IF(OR(O41="",P41=""),"",MAX(O41,1)+P41)</f>
        <v/>
      </c>
      <c r="S41" s="4" t="str">
        <f>IF(OR(O41="",P41=""),"",MAX(O41,1)+2*P41)</f>
        <v/>
      </c>
      <c r="T41" s="3" t="s">
        <v>27</v>
      </c>
    </row>
    <row r="42" spans="1:20" x14ac:dyDescent="0.25">
      <c r="A42" t="s">
        <v>139</v>
      </c>
      <c r="B42" t="s">
        <v>74</v>
      </c>
      <c r="C42" t="s">
        <v>81</v>
      </c>
      <c r="D42" t="s">
        <v>24</v>
      </c>
      <c r="E42" t="s">
        <v>25</v>
      </c>
      <c r="F42" t="s">
        <v>140</v>
      </c>
      <c r="G42" t="s">
        <v>27</v>
      </c>
      <c r="H42">
        <v>3</v>
      </c>
      <c r="I42">
        <v>3</v>
      </c>
      <c r="J42" t="s">
        <v>27</v>
      </c>
      <c r="K42" t="s">
        <v>27</v>
      </c>
      <c r="L42">
        <v>3</v>
      </c>
      <c r="M42">
        <v>6</v>
      </c>
      <c r="N42">
        <v>9</v>
      </c>
      <c r="O42" s="3" t="s">
        <v>27</v>
      </c>
      <c r="P42" s="3" t="s">
        <v>27</v>
      </c>
      <c r="Q42" s="4" t="str">
        <f>IF(O42="","",MAX(O42,1))</f>
        <v/>
      </c>
      <c r="R42" s="4" t="str">
        <f>IF(OR(O42="",P42=""),"",MAX(O42,1)+P42)</f>
        <v/>
      </c>
      <c r="S42" s="4" t="str">
        <f>IF(OR(O42="",P42=""),"",MAX(O42,1)+2*P42)</f>
        <v/>
      </c>
      <c r="T42" s="3" t="s">
        <v>27</v>
      </c>
    </row>
    <row r="43" spans="1:20" x14ac:dyDescent="0.25">
      <c r="A43" t="s">
        <v>141</v>
      </c>
      <c r="B43" t="s">
        <v>77</v>
      </c>
      <c r="C43" t="s">
        <v>81</v>
      </c>
      <c r="D43" t="s">
        <v>24</v>
      </c>
      <c r="E43" t="s">
        <v>25</v>
      </c>
      <c r="F43" t="s">
        <v>142</v>
      </c>
      <c r="G43" t="s">
        <v>27</v>
      </c>
      <c r="H43">
        <v>5</v>
      </c>
      <c r="I43">
        <v>5</v>
      </c>
      <c r="J43" t="s">
        <v>27</v>
      </c>
      <c r="K43" t="s">
        <v>27</v>
      </c>
      <c r="L43">
        <v>5</v>
      </c>
      <c r="M43">
        <v>10</v>
      </c>
      <c r="N43">
        <v>15</v>
      </c>
      <c r="O43" s="3" t="s">
        <v>27</v>
      </c>
      <c r="P43" s="3" t="s">
        <v>27</v>
      </c>
      <c r="Q43" s="4" t="str">
        <f>IF(O43="","",MAX(O43,1))</f>
        <v/>
      </c>
      <c r="R43" s="4" t="str">
        <f>IF(OR(O43="",P43=""),"",MAX(O43,1)+P43)</f>
        <v/>
      </c>
      <c r="S43" s="4" t="str">
        <f>IF(OR(O43="",P43=""),"",MAX(O43,1)+2*P43)</f>
        <v/>
      </c>
      <c r="T43" s="3" t="s">
        <v>27</v>
      </c>
    </row>
    <row r="44" spans="1:20" x14ac:dyDescent="0.25">
      <c r="A44" t="s">
        <v>143</v>
      </c>
      <c r="B44" t="s">
        <v>144</v>
      </c>
      <c r="C44" t="s">
        <v>81</v>
      </c>
      <c r="D44" t="s">
        <v>24</v>
      </c>
      <c r="E44" t="s">
        <v>25</v>
      </c>
      <c r="F44" t="s">
        <v>145</v>
      </c>
      <c r="G44" t="s">
        <v>27</v>
      </c>
      <c r="H44">
        <v>3</v>
      </c>
      <c r="I44">
        <v>3</v>
      </c>
      <c r="J44" t="s">
        <v>27</v>
      </c>
      <c r="K44" t="s">
        <v>27</v>
      </c>
      <c r="L44">
        <v>3</v>
      </c>
      <c r="M44">
        <v>6</v>
      </c>
      <c r="N44">
        <v>9</v>
      </c>
      <c r="O44" s="3" t="s">
        <v>27</v>
      </c>
      <c r="P44" s="3" t="s">
        <v>27</v>
      </c>
      <c r="Q44" s="4" t="str">
        <f>IF(O44="","",MAX(O44,1))</f>
        <v/>
      </c>
      <c r="R44" s="4" t="str">
        <f>IF(OR(O44="",P44=""),"",MAX(O44,1)+P44)</f>
        <v/>
      </c>
      <c r="S44" s="4" t="str">
        <f>IF(OR(O44="",P44=""),"",MAX(O44,1)+2*P44)</f>
        <v/>
      </c>
      <c r="T44" s="3" t="s">
        <v>27</v>
      </c>
    </row>
  </sheetData>
  <mergeCells count="2">
    <mergeCell ref="A2:T2"/>
    <mergeCell ref="A20:T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0" customWidth="1"/>
    <col min="3" max="3" width="10" customWidth="1"/>
    <col min="4" max="4" width="70" customWidth="1"/>
  </cols>
  <sheetData>
    <row r="1" spans="1:4" s="10" customFormat="1" x14ac:dyDescent="0.25">
      <c r="A1" s="10" t="s">
        <v>0</v>
      </c>
      <c r="B1" s="10" t="s">
        <v>146</v>
      </c>
      <c r="C1" s="10" t="s">
        <v>2</v>
      </c>
      <c r="D1" s="10" t="s">
        <v>147</v>
      </c>
    </row>
    <row r="2" spans="1:4" x14ac:dyDescent="0.25">
      <c r="A2" t="s">
        <v>148</v>
      </c>
      <c r="B2" t="s">
        <v>149</v>
      </c>
      <c r="C2" t="s">
        <v>81</v>
      </c>
      <c r="D2" t="s">
        <v>150</v>
      </c>
    </row>
    <row r="3" spans="1:4" x14ac:dyDescent="0.25">
      <c r="A3" t="s">
        <v>151</v>
      </c>
      <c r="B3" t="s">
        <v>152</v>
      </c>
      <c r="C3" t="s">
        <v>81</v>
      </c>
      <c r="D3" t="s">
        <v>153</v>
      </c>
    </row>
    <row r="4" spans="1:4" x14ac:dyDescent="0.25">
      <c r="A4" t="s">
        <v>154</v>
      </c>
      <c r="B4" t="s">
        <v>155</v>
      </c>
      <c r="C4" t="s">
        <v>81</v>
      </c>
      <c r="D4" t="s">
        <v>156</v>
      </c>
    </row>
    <row r="5" spans="1:4" x14ac:dyDescent="0.25">
      <c r="A5" t="s">
        <v>157</v>
      </c>
      <c r="B5" t="s">
        <v>149</v>
      </c>
      <c r="C5" t="s">
        <v>23</v>
      </c>
      <c r="D5" t="s">
        <v>150</v>
      </c>
    </row>
    <row r="6" spans="1:4" x14ac:dyDescent="0.25">
      <c r="A6" t="s">
        <v>158</v>
      </c>
      <c r="B6" t="s">
        <v>152</v>
      </c>
      <c r="C6" t="s">
        <v>23</v>
      </c>
      <c r="D6" t="s">
        <v>153</v>
      </c>
    </row>
    <row r="7" spans="1:4" x14ac:dyDescent="0.25">
      <c r="A7" t="s">
        <v>159</v>
      </c>
      <c r="B7" t="s">
        <v>160</v>
      </c>
      <c r="C7" t="s">
        <v>23</v>
      </c>
      <c r="D7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100" customWidth="1"/>
  </cols>
  <sheetData>
    <row r="1" spans="1:2" s="10" customFormat="1" x14ac:dyDescent="0.25">
      <c r="A1" s="10" t="s">
        <v>161</v>
      </c>
      <c r="B1" s="10" t="s">
        <v>162</v>
      </c>
    </row>
    <row r="2" ht="32" customHeight="1" spans="1:2" s="11" customFormat="1" x14ac:dyDescent="0.25">
      <c r="A2" s="11" t="s">
        <v>0</v>
      </c>
      <c r="B2" s="11" t="s">
        <v>163</v>
      </c>
    </row>
    <row r="3" ht="32" customHeight="1" spans="1:2" s="11" customFormat="1" x14ac:dyDescent="0.25">
      <c r="A3" s="11" t="s">
        <v>2</v>
      </c>
      <c r="B3" s="11" t="s">
        <v>164</v>
      </c>
    </row>
    <row r="4" ht="32" customHeight="1" spans="1:2" s="11" customFormat="1" x14ac:dyDescent="0.25">
      <c r="A4" s="11" t="s">
        <v>165</v>
      </c>
      <c r="B4" s="11" t="s">
        <v>166</v>
      </c>
    </row>
    <row r="5" ht="32" customHeight="1" spans="1:2" s="11" customFormat="1" x14ac:dyDescent="0.25">
      <c r="A5" s="11" t="s">
        <v>4</v>
      </c>
      <c r="B5" s="11" t="s">
        <v>167</v>
      </c>
    </row>
    <row r="6" ht="32" customHeight="1" spans="1:2" s="11" customFormat="1" x14ac:dyDescent="0.25">
      <c r="A6" s="11" t="s">
        <v>168</v>
      </c>
      <c r="B6" s="11" t="s">
        <v>169</v>
      </c>
    </row>
    <row r="7" ht="32" customHeight="1" spans="1:2" s="11" customFormat="1" x14ac:dyDescent="0.25">
      <c r="A7" s="11" t="s">
        <v>170</v>
      </c>
      <c r="B7" s="11" t="s">
        <v>171</v>
      </c>
    </row>
    <row r="8" ht="32" customHeight="1" spans="1:2" s="11" customFormat="1" x14ac:dyDescent="0.25">
      <c r="A8" s="11" t="s">
        <v>7</v>
      </c>
      <c r="B8" s="11" t="s">
        <v>172</v>
      </c>
    </row>
    <row r="9" ht="32" customHeight="1" spans="1:2" s="11" customFormat="1" x14ac:dyDescent="0.25">
      <c r="A9" s="11" t="s">
        <v>8</v>
      </c>
      <c r="B9" s="11" t="s">
        <v>173</v>
      </c>
    </row>
    <row r="10" ht="32" customHeight="1" spans="1:2" s="11" customFormat="1" x14ac:dyDescent="0.25">
      <c r="A10" s="11" t="s">
        <v>9</v>
      </c>
      <c r="B10" s="11" t="s">
        <v>174</v>
      </c>
    </row>
    <row r="11" ht="32" customHeight="1" spans="1:2" s="11" customFormat="1" x14ac:dyDescent="0.25">
      <c r="A11" s="11" t="s">
        <v>10</v>
      </c>
      <c r="B11" s="11" t="s">
        <v>175</v>
      </c>
    </row>
    <row r="12" ht="32" customHeight="1" spans="1:2" s="11" customFormat="1" x14ac:dyDescent="0.25">
      <c r="A12" s="11" t="s">
        <v>176</v>
      </c>
      <c r="B12" s="11" t="s">
        <v>177</v>
      </c>
    </row>
    <row r="13" ht="32" customHeight="1" spans="1:2" s="11" customFormat="1" x14ac:dyDescent="0.25">
      <c r="A13" s="11" t="s">
        <v>178</v>
      </c>
      <c r="B13" s="11" t="s">
        <v>179</v>
      </c>
    </row>
    <row r="14" ht="32" customHeight="1" spans="1:2" s="11" customFormat="1" x14ac:dyDescent="0.25">
      <c r="A14" s="11" t="s">
        <v>180</v>
      </c>
      <c r="B14" s="11" t="s">
        <v>181</v>
      </c>
    </row>
    <row r="15" ht="32" customHeight="1" spans="1:2" s="11" customFormat="1" x14ac:dyDescent="0.25">
      <c r="A15" s="11" t="s">
        <v>182</v>
      </c>
      <c r="B15" s="11" t="s">
        <v>183</v>
      </c>
    </row>
    <row r="16" ht="32" customHeight="1" spans="1:2" s="11" customFormat="1" x14ac:dyDescent="0.25">
      <c r="A16" s="11" t="s">
        <v>184</v>
      </c>
      <c r="B16" s="11" t="s">
        <v>185</v>
      </c>
    </row>
    <row r="17" ht="32" customHeight="1" spans="1:2" s="11" customFormat="1" x14ac:dyDescent="0.25">
      <c r="A17" s="11" t="s">
        <v>186</v>
      </c>
      <c r="B17" s="11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Chase Timings</vt:lpstr>
      <vt:lpstr>Excluded (Bilateral)</vt:lpstr>
      <vt:lpstr>Legend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Progressor build-chase-timings-spreadsheet.ts</dc:creator>
  <dc:title/>
  <dc:subject/>
  <dc:description/>
  <cp:keywords/>
  <cp:category/>
  <cp:lastModifiedBy>Unknown</cp:lastModifiedBy>
  <dcterms:created xsi:type="dcterms:W3CDTF">2026-05-22T22:20:48Z</dcterms:created>
  <dcterms:modified xsi:type="dcterms:W3CDTF">2026-05-22T22:20:48Z</dcterms:modified>
</cp:coreProperties>
</file>